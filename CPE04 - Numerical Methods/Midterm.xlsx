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<sst xmlns="http://schemas.openxmlformats.org/spreadsheetml/2006/main" count="18" uniqueCount="18">
  <si>
    <t xml:space="preserve">Newton Raphson Youtube</t>
  </si>
  <si>
    <t>i</t>
  </si>
  <si>
    <t>x</t>
  </si>
  <si>
    <t>f(x)</t>
  </si>
  <si>
    <t>f'(x)</t>
  </si>
  <si>
    <t xml:space="preserve">Rel. Error</t>
  </si>
  <si>
    <t xml:space="preserve">Newton Raphson GPT-4</t>
  </si>
  <si>
    <t xml:space="preserve">Secant Method  Youtube</t>
  </si>
  <si>
    <t>Example</t>
  </si>
  <si>
    <t xml:space="preserve">f(x) = x^2-x-1</t>
  </si>
  <si>
    <t xml:space="preserve">Xa = 3</t>
  </si>
  <si>
    <r>
      <rPr>
        <sz val="11"/>
        <color theme="1"/>
        <rFont val="Calibri"/>
        <scheme val="minor"/>
      </rPr>
      <t>X</t>
    </r>
    <r>
      <rPr>
        <vertAlign val="subscript"/>
        <sz val="11"/>
        <color theme="1"/>
        <rFont val="Calibri"/>
        <scheme val="minor"/>
      </rPr>
      <t xml:space="preserve">b </t>
    </r>
    <r>
      <rPr>
        <sz val="11"/>
        <color theme="1"/>
        <rFont val="Calibri"/>
        <scheme val="minor"/>
      </rPr>
      <t xml:space="preserve">= 2</t>
    </r>
  </si>
  <si>
    <r>
      <rPr>
        <sz val="11"/>
        <color theme="1"/>
        <rFont val="Calibri"/>
        <scheme val="minor"/>
      </rPr>
      <t>X</t>
    </r>
    <r>
      <rPr>
        <vertAlign val="subscript"/>
        <sz val="11"/>
        <color theme="1"/>
        <rFont val="Calibri"/>
        <scheme val="minor"/>
      </rPr>
      <t>a</t>
    </r>
  </si>
  <si>
    <r>
      <rPr>
        <sz val="11"/>
        <color theme="1"/>
        <rFont val="Calibri"/>
        <scheme val="minor"/>
      </rPr>
      <t>X</t>
    </r>
    <r>
      <rPr>
        <vertAlign val="subscript"/>
        <sz val="11"/>
        <color theme="1"/>
        <rFont val="Calibri"/>
        <scheme val="minor"/>
      </rPr>
      <t>b</t>
    </r>
  </si>
  <si>
    <r>
      <rPr>
        <sz val="11"/>
        <color theme="1"/>
        <rFont val="Calibri"/>
        <scheme val="minor"/>
      </rPr>
      <t>f(X</t>
    </r>
    <r>
      <rPr>
        <vertAlign val="subscript"/>
        <sz val="11"/>
        <color theme="1"/>
        <rFont val="Calibri"/>
        <scheme val="minor"/>
      </rPr>
      <t>a</t>
    </r>
    <r>
      <rPr>
        <sz val="11"/>
        <color theme="1"/>
        <rFont val="Calibri"/>
        <scheme val="minor"/>
      </rPr>
      <t>)</t>
    </r>
  </si>
  <si>
    <r>
      <rPr>
        <sz val="11"/>
        <color theme="1"/>
        <rFont val="Calibri"/>
        <scheme val="minor"/>
      </rPr>
      <t>f(X</t>
    </r>
    <r>
      <rPr>
        <vertAlign val="subscript"/>
        <sz val="11"/>
        <color theme="1"/>
        <rFont val="Calibri"/>
        <scheme val="minor"/>
      </rPr>
      <t>b</t>
    </r>
    <r>
      <rPr>
        <sz val="11"/>
        <color theme="1"/>
        <rFont val="Calibri"/>
        <scheme val="minor"/>
      </rPr>
      <t>)</t>
    </r>
  </si>
  <si>
    <t xml:space="preserve">Secant Method GPT-4</t>
  </si>
  <si>
    <t xml:space="preserve">f(x) =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</si>
</sst>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133349</xdr:colOff>
      <xdr:row>18</xdr:row>
      <xdr:rowOff>62645</xdr:rowOff>
    </xdr:from>
    <xdr:ext cx="3654423" cy="1553428"/>
    <xdr:pic>
      <xdr:nvPicPr>
        <xdr:cNvPr id="1803896588" name=""/>
        <xdr:cNvPicPr>
          <a:picLocks noChangeAspect="1"/>
        </xdr:cNvPicPr>
      </xdr:nvPicPr>
      <xdr:blipFill>
        <a:blip r:embed="rId1"/>
        <a:stretch/>
      </xdr:blipFill>
      <xdr:spPr bwMode="auto">
        <a:xfrm flipH="0" flipV="0">
          <a:off x="742949" y="3263046"/>
          <a:ext cx="3654424" cy="155342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" zoomScale="100" workbookViewId="0">
      <selection activeCell="A1" activeCellId="0" sqref="A1"/>
    </sheetView>
  </sheetViews>
  <sheetFormatPr defaultRowHeight="14.25"/>
  <cols>
    <col min="2" max="2" style="1" width="9.140625"/>
    <col customWidth="1" min="3" max="4" style="1" width="15.28125"/>
    <col min="5" max="6" style="1" width="9.140625"/>
    <col bestFit="1" customWidth="1" min="7" max="7" width="12.04296875"/>
    <col customWidth="1" min="8" max="8" width="14.7109375"/>
  </cols>
  <sheetData>
    <row r="2" ht="14.25">
      <c r="C2" s="1" t="s">
        <v>0</v>
      </c>
      <c r="D2" s="1"/>
    </row>
    <row r="3" ht="14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ht="14.25">
      <c r="B4" s="1">
        <v>1</v>
      </c>
      <c r="C4" s="1">
        <v>1</v>
      </c>
      <c r="D4" s="1">
        <f t="shared" ref="D4:D8" si="0">C4^2-C4-1</f>
        <v>-1</v>
      </c>
      <c r="E4" s="1">
        <f t="shared" ref="E4:E8" si="1">2*C4-1</f>
        <v>1</v>
      </c>
    </row>
    <row r="5" ht="14.25">
      <c r="B5" s="1">
        <f t="shared" ref="B5:B8" si="2">B4+1</f>
        <v>2</v>
      </c>
      <c r="C5" s="1">
        <f t="shared" ref="C5:C8" si="3">C4-D4/E4</f>
        <v>2</v>
      </c>
      <c r="D5" s="1">
        <f t="shared" si="0"/>
        <v>1</v>
      </c>
      <c r="E5" s="1">
        <f t="shared" si="1"/>
        <v>3</v>
      </c>
      <c r="F5" s="1">
        <f>ABS((B5-B4)/B5)*100</f>
        <v>50</v>
      </c>
      <c r="H5" s="2"/>
    </row>
    <row r="6" ht="14.25">
      <c r="B6" s="1">
        <f t="shared" si="2"/>
        <v>3</v>
      </c>
      <c r="C6" s="1">
        <f t="shared" si="3"/>
        <v>1.6666666666666667</v>
      </c>
      <c r="D6" s="1">
        <f t="shared" si="0"/>
        <v>0.11111111111111138</v>
      </c>
      <c r="E6" s="1">
        <f t="shared" si="1"/>
        <v>2.3333333333333335</v>
      </c>
      <c r="F6" s="1">
        <f t="shared" ref="F6:F8" si="4">ABS((C6-C5)/C6)*100</f>
        <v>19.999999999999996</v>
      </c>
    </row>
    <row r="7" ht="14.25">
      <c r="B7" s="1">
        <f t="shared" si="2"/>
        <v>4</v>
      </c>
      <c r="C7" s="1">
        <f t="shared" si="3"/>
        <v>1.6190476190476191</v>
      </c>
      <c r="D7" s="1">
        <f t="shared" si="0"/>
        <v>0.0022675736961450532</v>
      </c>
      <c r="E7" s="1">
        <f t="shared" si="1"/>
        <v>2.2380952380952381</v>
      </c>
      <c r="F7" s="1">
        <f t="shared" si="4"/>
        <v>2.9411764705882382</v>
      </c>
    </row>
    <row r="8" ht="14.25">
      <c r="B8" s="1">
        <f t="shared" si="2"/>
        <v>5</v>
      </c>
      <c r="C8" s="1">
        <f t="shared" si="3"/>
        <v>1.6180344478216819</v>
      </c>
      <c r="D8" s="1">
        <f t="shared" si="0"/>
        <v>1.0265159333666674e-06</v>
      </c>
      <c r="E8" s="1">
        <f t="shared" si="1"/>
        <v>2.2360688956433639</v>
      </c>
      <c r="F8" s="1">
        <f t="shared" si="4"/>
        <v>0.062617407639320874</v>
      </c>
    </row>
    <row r="9" ht="14.25">
      <c r="B9" s="1"/>
      <c r="C9" s="1"/>
      <c r="D9" s="1"/>
      <c r="E9" s="1"/>
      <c r="F9" s="1"/>
    </row>
    <row r="10" ht="14.25">
      <c r="B10" s="1"/>
      <c r="C10" s="1" t="s">
        <v>6</v>
      </c>
      <c r="D10" s="1"/>
      <c r="E10" s="1"/>
      <c r="F10" s="1"/>
    </row>
    <row r="11" ht="14.25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ht="14.25">
      <c r="B12" s="1">
        <v>1</v>
      </c>
      <c r="C12" s="1">
        <v>1</v>
      </c>
      <c r="D12" s="1">
        <f t="shared" ref="D12:D16" si="5">C12^3-2*C12-5</f>
        <v>-6</v>
      </c>
      <c r="E12" s="1">
        <f t="shared" ref="E12:E16" si="6">3*C12^2-2</f>
        <v>1</v>
      </c>
      <c r="F12" s="1"/>
    </row>
    <row r="13" ht="14.25">
      <c r="B13" s="1">
        <f t="shared" ref="B13:B16" si="7">B12+1</f>
        <v>2</v>
      </c>
      <c r="C13" s="1">
        <f t="shared" ref="C13:C16" si="8">C12-D12/E12</f>
        <v>7</v>
      </c>
      <c r="D13" s="1">
        <f t="shared" si="5"/>
        <v>324</v>
      </c>
      <c r="E13" s="1">
        <f t="shared" si="6"/>
        <v>145</v>
      </c>
      <c r="F13" s="1">
        <f t="shared" ref="F13:F16" si="9">ABS((C13-C12)/C13*100)</f>
        <v>85.714285714285708</v>
      </c>
    </row>
    <row r="14" ht="14.25">
      <c r="B14" s="1">
        <f t="shared" si="7"/>
        <v>3</v>
      </c>
      <c r="C14" s="1">
        <f t="shared" si="8"/>
        <v>4.7655172413793103</v>
      </c>
      <c r="D14" s="1">
        <f t="shared" si="5"/>
        <v>93.694598712534344</v>
      </c>
      <c r="E14" s="1">
        <f t="shared" si="6"/>
        <v>66.130463733650416</v>
      </c>
      <c r="F14" s="1">
        <f t="shared" si="9"/>
        <v>46.888567293777136</v>
      </c>
    </row>
    <row r="15" ht="14.25">
      <c r="B15" s="1">
        <f t="shared" si="7"/>
        <v>4</v>
      </c>
      <c r="C15" s="1">
        <f t="shared" si="8"/>
        <v>3.3487027594802825</v>
      </c>
      <c r="D15" s="1">
        <f t="shared" si="5"/>
        <v>25.854311546130113</v>
      </c>
      <c r="E15" s="1">
        <f t="shared" si="6"/>
        <v>31.64143051405258</v>
      </c>
      <c r="F15" s="1">
        <f t="shared" si="9"/>
        <v>42.309353312651645</v>
      </c>
    </row>
    <row r="16" ht="14.25">
      <c r="B16" s="1">
        <f t="shared" si="7"/>
        <v>5</v>
      </c>
      <c r="C16" s="1">
        <f t="shared" si="8"/>
        <v>2.5315996410025101</v>
      </c>
      <c r="D16" s="1">
        <f t="shared" si="5"/>
        <v>6.1618145700487723</v>
      </c>
      <c r="E16" s="1">
        <f t="shared" si="6"/>
        <v>17.226990226972113</v>
      </c>
      <c r="F16" s="1">
        <f t="shared" si="9"/>
        <v>32.276158727617791</v>
      </c>
    </row>
    <row r="29" ht="14.25">
      <c r="C29" s="1" t="s">
        <v>7</v>
      </c>
      <c r="D29" s="1"/>
      <c r="F29" s="1" t="s">
        <v>8</v>
      </c>
      <c r="G29" t="s">
        <v>9</v>
      </c>
      <c r="H29" t="s">
        <v>10</v>
      </c>
      <c r="I29" t="s">
        <v>11</v>
      </c>
    </row>
    <row r="30" ht="14.25">
      <c r="B30" s="1" t="s">
        <v>1</v>
      </c>
      <c r="C30" s="1" t="s">
        <v>12</v>
      </c>
      <c r="D30" s="1" t="s">
        <v>13</v>
      </c>
      <c r="E30" s="1" t="s">
        <v>14</v>
      </c>
      <c r="F30" s="1" t="s">
        <v>15</v>
      </c>
    </row>
    <row r="31" ht="14.25">
      <c r="B31" s="1">
        <f>1</f>
        <v>1</v>
      </c>
      <c r="C31" s="1">
        <v>3</v>
      </c>
      <c r="D31" s="1">
        <v>2</v>
      </c>
      <c r="E31" s="1">
        <f t="shared" ref="E31:E35" si="10">C31^2-C31-1</f>
        <v>5</v>
      </c>
      <c r="F31" s="1">
        <f t="shared" ref="F31:F35" si="11">D31^2-D31-1</f>
        <v>1</v>
      </c>
      <c r="G31" s="3"/>
    </row>
    <row r="32" ht="14.25">
      <c r="B32" s="1">
        <f t="shared" ref="B32:B35" si="12">B31+1</f>
        <v>2</v>
      </c>
      <c r="C32" s="1">
        <f t="shared" ref="C32:C35" si="13">D31</f>
        <v>2</v>
      </c>
      <c r="D32" s="1">
        <f t="shared" ref="D32:D35" si="14">C31-(E31*(C31-D31))/(E31-F31)</f>
        <v>1.75</v>
      </c>
      <c r="E32" s="1">
        <f t="shared" si="10"/>
        <v>1</v>
      </c>
      <c r="F32" s="1">
        <f t="shared" si="11"/>
        <v>0.3125</v>
      </c>
    </row>
    <row r="33" ht="14.25">
      <c r="B33" s="1">
        <f t="shared" si="12"/>
        <v>3</v>
      </c>
      <c r="C33" s="1">
        <f t="shared" si="13"/>
        <v>1.75</v>
      </c>
      <c r="D33" s="1">
        <f t="shared" si="14"/>
        <v>1.6363636363636362</v>
      </c>
      <c r="E33" s="1">
        <f t="shared" si="10"/>
        <v>0.3125</v>
      </c>
      <c r="F33" s="1">
        <f t="shared" si="11"/>
        <v>0.041322314049586417</v>
      </c>
    </row>
    <row r="34" ht="14.25">
      <c r="B34" s="1">
        <f t="shared" si="12"/>
        <v>4</v>
      </c>
      <c r="C34" s="1">
        <f t="shared" si="13"/>
        <v>1.6363636363636362</v>
      </c>
      <c r="D34" s="1">
        <f t="shared" si="14"/>
        <v>1.6190476190476191</v>
      </c>
      <c r="E34" s="1">
        <f t="shared" si="10"/>
        <v>0.041322314049586417</v>
      </c>
      <c r="F34" s="1">
        <f t="shared" si="11"/>
        <v>0.0022675736961450532</v>
      </c>
    </row>
    <row r="35" ht="14.25">
      <c r="B35" s="1">
        <f t="shared" si="12"/>
        <v>5</v>
      </c>
      <c r="C35" s="1">
        <f t="shared" si="13"/>
        <v>1.6190476190476191</v>
      </c>
      <c r="D35" s="1">
        <f t="shared" si="14"/>
        <v>1.618042226487524</v>
      </c>
      <c r="E35" s="1">
        <f t="shared" si="10"/>
        <v>0.0022675736961450532</v>
      </c>
      <c r="F35" s="1">
        <f t="shared" si="11"/>
        <v>1.8420209179970115e-05</v>
      </c>
    </row>
    <row r="37" ht="14.25">
      <c r="C37" s="4" t="s">
        <v>16</v>
      </c>
      <c r="D37" s="1"/>
      <c r="G37" t="s">
        <v>17</v>
      </c>
    </row>
    <row r="38" ht="14.25">
      <c r="B38" s="4" t="s">
        <v>1</v>
      </c>
      <c r="C38" s="1" t="s">
        <v>12</v>
      </c>
      <c r="D38" s="1" t="s">
        <v>13</v>
      </c>
      <c r="E38" s="1" t="s">
        <v>14</v>
      </c>
      <c r="F38" s="1" t="s">
        <v>15</v>
      </c>
    </row>
  </sheetData>
  <mergeCells count="4">
    <mergeCell ref="C2:D2"/>
    <mergeCell ref="C10:D10"/>
    <mergeCell ref="C29:D29"/>
    <mergeCell ref="C37:D3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2024-04-24T02:24:44Z</dcterms:modified>
</cp:coreProperties>
</file>